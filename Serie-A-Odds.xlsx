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7-Football\4-Serie A\"/>
    </mc:Choice>
  </mc:AlternateContent>
  <xr:revisionPtr revIDLastSave="0" documentId="13_ncr:1_{68879274-7375-4A3B-BFDD-8F233DEE5A6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23-Jan" sheetId="1" r:id="rId1"/>
    <sheet name="_dv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" i="1" l="1"/>
  <c r="K3" i="1"/>
  <c r="K2" i="1"/>
  <c r="H2" i="1"/>
  <c r="K5" i="1" s="1"/>
  <c r="G2" i="1"/>
  <c r="L4" i="1" l="1"/>
  <c r="L2" i="1"/>
  <c r="L3" i="1"/>
</calcChain>
</file>

<file path=xl/sharedStrings.xml><?xml version="1.0" encoding="utf-8"?>
<sst xmlns="http://schemas.openxmlformats.org/spreadsheetml/2006/main" count="19" uniqueCount="16">
  <si>
    <t>ทีมเหย้า</t>
  </si>
  <si>
    <t>$ ทีมเหย้า</t>
  </si>
  <si>
    <t>$ เสมอ</t>
  </si>
  <si>
    <t>$ ทีมเยือน</t>
  </si>
  <si>
    <t>ทีมเยือน</t>
  </si>
  <si>
    <t>ผลการแข่งขัน</t>
  </si>
  <si>
    <t>ผลการลงทุน</t>
  </si>
  <si>
    <t>ผล</t>
  </si>
  <si>
    <t>สรุปผล</t>
  </si>
  <si>
    <t>Internazionale Milano</t>
  </si>
  <si>
    <t>Pisa 1909</t>
  </si>
  <si>
    <t>เหย้า</t>
  </si>
  <si>
    <t>เยือน</t>
  </si>
  <si>
    <t>เสมอ</t>
  </si>
  <si>
    <t>รวมทั้งหมด</t>
  </si>
  <si>
    <t>my 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</si>
</sst>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7030A0"/>
      <name val="Calibri"/>
    </font>
    <font>
      <sz val="11"/>
      <color rgb="FFFF3DA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AF2FF"/>
      </patternFill>
    </fill>
    <fill>
      <patternFill patternType="solid">
        <fgColor rgb="FFF6F9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9D3E7"/>
      </left>
      <right style="thin">
        <color rgb="FFC9D3E7"/>
      </right>
      <top style="thin">
        <color rgb="FFC9D3E7"/>
      </top>
      <bottom style="thin">
        <color rgb="FFC9D3E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0" fillId="3" borderId="1" xfId="0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10" fontId="0" fillId="3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6">
    <dxf>
      <font>
        <b/>
        <color rgb="FF7F7F7F"/>
      </font>
    </dxf>
    <dxf>
      <font>
        <b/>
        <color rgb="FFC00000"/>
      </font>
    </dxf>
    <dxf>
      <font>
        <b/>
        <color rgb="FF1F4E79"/>
      </font>
    </dxf>
    <dxf>
      <font>
        <b/>
        <color rgb="FF7F7F7F"/>
      </font>
    </dxf>
    <dxf>
      <font>
        <b/>
        <color rgb="FFC00000"/>
      </font>
    </dxf>
    <dxf>
      <font>
        <b/>
        <color rgb="FF1F4E7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pane ySplit="1" topLeftCell="A2" activePane="bottomLeft" state="frozen"/>
      <selection pane="bottomLeft" activeCell="F1" sqref="F1"/>
    </sheetView>
  </sheetViews>
  <sheetFormatPr defaultRowHeight="14.5" x14ac:dyDescent="0.35"/>
  <cols>
    <col min="1" max="1" width="22" customWidth="1"/>
    <col min="2" max="2" width="12" customWidth="1"/>
    <col min="3" max="3" width="10" customWidth="1"/>
    <col min="4" max="4" width="12" customWidth="1"/>
    <col min="5" max="5" width="22" customWidth="1"/>
    <col min="6" max="6" width="16" customWidth="1"/>
    <col min="7" max="7" width="14" customWidth="1"/>
    <col min="8" max="8" width="10" customWidth="1"/>
    <col min="10" max="10" width="14" customWidth="1"/>
    <col min="11" max="12" width="10" customWidth="1"/>
  </cols>
  <sheetData>
    <row r="1" spans="1:12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5" t="s">
        <v>5</v>
      </c>
      <c r="G1" s="1" t="s">
        <v>6</v>
      </c>
      <c r="H1" s="1" t="s">
        <v>7</v>
      </c>
      <c r="J1" s="2" t="s">
        <v>8</v>
      </c>
      <c r="K1" s="3"/>
      <c r="L1" s="3"/>
    </row>
    <row r="2" spans="1:12" x14ac:dyDescent="0.35">
      <c r="A2" s="14" t="s">
        <v>9</v>
      </c>
      <c r="B2" s="5">
        <v>1.202</v>
      </c>
      <c r="C2" s="6">
        <v>7.95</v>
      </c>
      <c r="D2" s="7">
        <v>17</v>
      </c>
      <c r="E2" s="4" t="s">
        <v>10</v>
      </c>
      <c r="F2" s="8"/>
      <c r="G2" s="6" t="str">
        <f>IF($F2="","",IF($F2="เสมอ",$C2,IF($F2=$A2,$B2,IF($F2=$E2,$D2,""))))</f>
        <v/>
      </c>
      <c r="H2" s="8" t="str">
        <f>IF($F2="","",IF($F2="เสมอ","เสมอ",IF($F2=$A2,"เหย้า",IF($F2=$E2,"เยือน",""))))</f>
        <v/>
      </c>
      <c r="J2" s="9" t="s">
        <v>11</v>
      </c>
      <c r="K2" s="8">
        <f>COUNTIF($H$2:$H$2,"เหย้า")</f>
        <v>0</v>
      </c>
      <c r="L2" s="10">
        <f>IF($K$5=0,0,$K$2/$K$5)</f>
        <v>0</v>
      </c>
    </row>
    <row r="3" spans="1:12" x14ac:dyDescent="0.35">
      <c r="J3" s="11" t="s">
        <v>12</v>
      </c>
      <c r="K3" s="12">
        <f>COUNTIF($H$2:$H$2,"เยือน")</f>
        <v>0</v>
      </c>
      <c r="L3" s="13">
        <f>IF($K$5=0,0,$K$3/$K$5)</f>
        <v>0</v>
      </c>
    </row>
    <row r="4" spans="1:12" x14ac:dyDescent="0.35">
      <c r="J4" s="9" t="s">
        <v>13</v>
      </c>
      <c r="K4" s="8">
        <f>COUNTIF($H$2:$H$2,"เสมอ")</f>
        <v>0</v>
      </c>
      <c r="L4" s="10">
        <f>IF($K$5=0,0,$K$4/$K$5)</f>
        <v>0</v>
      </c>
    </row>
    <row r="5" spans="1:12" x14ac:dyDescent="0.35">
      <c r="J5" s="11" t="s">
        <v>14</v>
      </c>
      <c r="K5" s="12">
        <f>COUNTA($H$2:$H$2)</f>
        <v>1</v>
      </c>
      <c r="L5" s="13"/>
    </row>
    <row r="8" spans="1:12" x14ac:dyDescent="0.35">
      <c r="J8" s="16"/>
      <c r="K8" t="s">
        <v>15</v>
      </c>
    </row>
  </sheetData>
  <conditionalFormatting sqref="G2">
    <cfRule type="expression" dxfId="5" priority="1">
      <formula>$F2=$A2</formula>
    </cfRule>
    <cfRule type="expression" dxfId="4" priority="2">
      <formula>$F2=$E2</formula>
    </cfRule>
    <cfRule type="expression" dxfId="3" priority="3">
      <formula>$F2="เสมอ"</formula>
    </cfRule>
  </conditionalFormatting>
  <conditionalFormatting sqref="H2">
    <cfRule type="expression" dxfId="2" priority="4">
      <formula>H2="เหย้า"</formula>
    </cfRule>
    <cfRule type="expression" dxfId="1" priority="5">
      <formula>H2="เยือน"</formula>
    </cfRule>
    <cfRule type="expression" dxfId="0" priority="6">
      <formula>H2="เสมอ"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_dv!$A$2:$C$2</xm:f>
          </x14:formula1>
          <xm:sqref>F2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2"/>
  <sheetViews>
    <sheetView workbookViewId="0"/>
  </sheetViews>
  <sheetFormatPr defaultRowHeight="14.5" x14ac:dyDescent="0.35"/>
  <sheetData>
    <row r="2" spans="1:3" x14ac:dyDescent="0.35">
      <c r="A2" t="s">
        <v>9</v>
      </c>
      <c r="B2" t="s">
        <v>13</v>
      </c>
      <c r="C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23-Jan</vt:lpstr>
      <vt:lpstr>_dv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 Wuth</cp:lastModifiedBy>
  <dcterms:created xsi:type="dcterms:W3CDTF">2026-01-23T08:35:33Z</dcterms:created>
  <dcterms:modified xsi:type="dcterms:W3CDTF">2026-01-23T10:19:02Z</dcterms:modified>
</cp:coreProperties>
</file>