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7-Football\4-Serie A\"/>
    </mc:Choice>
  </mc:AlternateContent>
  <xr:revisionPtr revIDLastSave="0" documentId="13_ncr:1_{6AAE431C-6095-4003-BC03-6B6F6E9DE7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4-J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3" i="1"/>
  <c r="G3" i="1"/>
  <c r="K2" i="1"/>
  <c r="G2" i="1"/>
  <c r="K5" i="1" s="1"/>
  <c r="L3" i="1" l="1"/>
  <c r="L2" i="1"/>
  <c r="L4" i="1"/>
</calcChain>
</file>

<file path=xl/sharedStrings.xml><?xml version="1.0" encoding="utf-8"?>
<sst xmlns="http://schemas.openxmlformats.org/spreadsheetml/2006/main" count="17" uniqueCount="17">
  <si>
    <t>ทีมเหย้า</t>
  </si>
  <si>
    <t>% ทีมเหย้า</t>
  </si>
  <si>
    <t>% เสมอ</t>
  </si>
  <si>
    <t>% ทีมเยือน</t>
  </si>
  <si>
    <t>ทีมเยือน</t>
  </si>
  <si>
    <t>ผลการแข่งขัน</t>
  </si>
  <si>
    <t>ผลการทำนาย</t>
  </si>
  <si>
    <t>สรุปผล</t>
  </si>
  <si>
    <t>Inter</t>
  </si>
  <si>
    <t>Pisa</t>
  </si>
  <si>
    <t>ถูก</t>
  </si>
  <si>
    <t>Como</t>
  </si>
  <si>
    <t>Torino</t>
  </si>
  <si>
    <t>ผิด</t>
  </si>
  <si>
    <t>เสมอ</t>
  </si>
  <si>
    <t>รวมทั้งหมด</t>
  </si>
  <si>
    <t>my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</si>
</sst>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7030A0"/>
      <name val="Calibri"/>
    </font>
    <font>
      <sz val="11"/>
      <color rgb="FFFF2D7A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EAF2"/>
      </patternFill>
    </fill>
    <fill>
      <patternFill patternType="solid">
        <fgColor rgb="FFF6F6F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0" xfId="0" applyFill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3">
    <dxf>
      <font>
        <b/>
        <color rgb="FF7F7F7F"/>
      </font>
    </dxf>
    <dxf>
      <font>
        <b/>
        <color rgb="FFC00000"/>
      </font>
    </dxf>
    <dxf>
      <font>
        <b/>
        <color rgb="FF1F4E7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22" customWidth="1"/>
    <col min="2" max="2" width="12" customWidth="1"/>
    <col min="3" max="3" width="10" customWidth="1"/>
    <col min="4" max="4" width="12" customWidth="1"/>
    <col min="5" max="5" width="22" customWidth="1"/>
    <col min="6" max="6" width="20" customWidth="1"/>
    <col min="7" max="7" width="13.54296875" bestFit="1" customWidth="1"/>
    <col min="10" max="10" width="14" customWidth="1"/>
    <col min="11" max="12" width="10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7" t="s">
        <v>5</v>
      </c>
      <c r="G1" s="1" t="s">
        <v>6</v>
      </c>
      <c r="J1" s="14" t="s">
        <v>7</v>
      </c>
      <c r="K1" s="15"/>
      <c r="L1" s="15"/>
    </row>
    <row r="2" spans="1:12" x14ac:dyDescent="0.35">
      <c r="A2" s="18" t="s">
        <v>8</v>
      </c>
      <c r="B2" s="3">
        <v>75.900000000000006</v>
      </c>
      <c r="C2" s="4">
        <v>14.5</v>
      </c>
      <c r="D2" s="5">
        <v>9.6</v>
      </c>
      <c r="E2" s="2" t="s">
        <v>9</v>
      </c>
      <c r="F2" s="6"/>
      <c r="G2" s="6" t="str">
        <f>IF(F2="เสมอ","เสมอ",IF(F2=IF(B2&gt;=D2,A2,E2),"ถูก","ผิด"))</f>
        <v>ผิด</v>
      </c>
      <c r="J2" s="2" t="s">
        <v>10</v>
      </c>
      <c r="K2" s="6">
        <f>COUNTIF(G2:G3,"ถูก")</f>
        <v>0</v>
      </c>
      <c r="L2" s="7">
        <f>IF(COUNTA(G2:G3)=0,0,K2/COUNTA(G2:G3))</f>
        <v>0</v>
      </c>
    </row>
    <row r="3" spans="1:12" x14ac:dyDescent="0.35">
      <c r="A3" s="18" t="s">
        <v>11</v>
      </c>
      <c r="B3" s="9">
        <v>56.7</v>
      </c>
      <c r="C3" s="10">
        <v>23.7</v>
      </c>
      <c r="D3" s="11">
        <v>19.600000000000001</v>
      </c>
      <c r="E3" s="8" t="s">
        <v>12</v>
      </c>
      <c r="F3" s="12"/>
      <c r="G3" s="12" t="str">
        <f>IF(F3="เสมอ","เสมอ",IF(F3=IF(B3&gt;=D3,A3,E3),"ถูก","ผิด"))</f>
        <v>ผิด</v>
      </c>
      <c r="J3" s="8" t="s">
        <v>13</v>
      </c>
      <c r="K3" s="12">
        <f>COUNTIF(G2:G3,"ผิด")</f>
        <v>2</v>
      </c>
      <c r="L3" s="13">
        <f>IF(COUNTA(G2:G3)=0,0,K3/COUNTA(G2:G3))</f>
        <v>1</v>
      </c>
    </row>
    <row r="4" spans="1:12" x14ac:dyDescent="0.35">
      <c r="J4" s="2" t="s">
        <v>14</v>
      </c>
      <c r="K4" s="6">
        <f>COUNTIF(G2:G3,"เสมอ")</f>
        <v>0</v>
      </c>
      <c r="L4" s="7">
        <f>IF(COUNTA(G2:G3)=0,0,K4/COUNTA(G2:G3))</f>
        <v>0</v>
      </c>
    </row>
    <row r="5" spans="1:12" x14ac:dyDescent="0.35">
      <c r="J5" s="8" t="s">
        <v>15</v>
      </c>
      <c r="K5" s="12">
        <f>COUNTA(G2:G3)</f>
        <v>2</v>
      </c>
      <c r="L5" s="12"/>
    </row>
    <row r="8" spans="1:12" x14ac:dyDescent="0.35">
      <c r="J8" s="16"/>
      <c r="K8" t="s">
        <v>16</v>
      </c>
    </row>
  </sheetData>
  <mergeCells count="1">
    <mergeCell ref="J1:L1"/>
  </mergeCells>
  <conditionalFormatting sqref="G2:G3">
    <cfRule type="expression" dxfId="2" priority="1">
      <formula>G2="ถูก"</formula>
    </cfRule>
    <cfRule type="expression" dxfId="1" priority="2">
      <formula>G2="ผิด"</formula>
    </cfRule>
    <cfRule type="expression" dxfId="0" priority="3">
      <formula>G2="เสมอ"</formula>
    </cfRule>
  </conditionalFormatting>
  <dataValidations count="2">
    <dataValidation type="list" allowBlank="1" sqref="F2" xr:uid="{00000000-0002-0000-0000-000000000000}">
      <formula1>"Inter,เสมอ,Pisa"</formula1>
    </dataValidation>
    <dataValidation type="list" allowBlank="1" sqref="F3" xr:uid="{00000000-0002-0000-0000-000001000000}">
      <formula1>"Como,เสมอ,Torino"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 Wuth</cp:lastModifiedBy>
  <dcterms:created xsi:type="dcterms:W3CDTF">2026-01-23T08:51:17Z</dcterms:created>
  <dcterms:modified xsi:type="dcterms:W3CDTF">2026-01-23T09:27:18Z</dcterms:modified>
</cp:coreProperties>
</file>